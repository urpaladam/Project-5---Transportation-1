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tmei\Downloads\"/>
    </mc:Choice>
  </mc:AlternateContent>
  <xr:revisionPtr revIDLastSave="0" documentId="13_ncr:1_{DEFCF8D7-E9E3-46AC-B72B-6C050EC2CB38}" xr6:coauthVersionLast="47" xr6:coauthVersionMax="47" xr10:uidLastSave="{00000000-0000-0000-0000-000000000000}"/>
  <bookViews>
    <workbookView xWindow="-120" yWindow="-120" windowWidth="29040" windowHeight="15720" xr2:uid="{2E59128A-FA62-4A33-8D81-4EB0F888A8D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  <c r="G3" i="1"/>
  <c r="G4" i="1"/>
  <c r="G12" i="1" s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<sst xmlns="http://schemas.openxmlformats.org/spreadsheetml/2006/main" count="36" uniqueCount="27">
  <si>
    <t>Engineer</t>
  </si>
  <si>
    <t>Date</t>
  </si>
  <si>
    <t>Day of Week</t>
  </si>
  <si>
    <t>Hours Allocated</t>
  </si>
  <si>
    <t>Task Completed</t>
  </si>
  <si>
    <t>Hourly Rate</t>
  </si>
  <si>
    <t>Total Compensation</t>
  </si>
  <si>
    <t>Tuesday</t>
  </si>
  <si>
    <t>Report</t>
  </si>
  <si>
    <t>ACD</t>
  </si>
  <si>
    <t>Friday</t>
  </si>
  <si>
    <t>Lab 1</t>
  </si>
  <si>
    <t>Lab 2</t>
  </si>
  <si>
    <t>Lab3</t>
  </si>
  <si>
    <t>Adam Meismer</t>
  </si>
  <si>
    <t>Thursday</t>
  </si>
  <si>
    <t>SOW</t>
  </si>
  <si>
    <t>4/20/26 - 4/21/26</t>
  </si>
  <si>
    <t>Monday-Tuesday</t>
  </si>
  <si>
    <t>Project Code Doc</t>
  </si>
  <si>
    <t>Github upload</t>
  </si>
  <si>
    <t>Total hours</t>
  </si>
  <si>
    <t xml:space="preserve"> </t>
  </si>
  <si>
    <t xml:space="preserve">  </t>
  </si>
  <si>
    <t>Total compensation</t>
  </si>
  <si>
    <t>Nietal Al Nahmo</t>
  </si>
  <si>
    <t>Luke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</si>
</sst>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5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5DD544-78C8-4320-9B93-0BE68EDC9F40}" name="Table1" displayName="Table1" ref="A1:G9" totalsRowShown="0">
  <autoFilter ref="A1:G9" xr:uid="{675DD544-78C8-4320-9B93-0BE68EDC9F40}"/>
  <tableColumns count="7">
    <tableColumn id="1" xr3:uid="{136A5FB8-6DE3-455D-9090-A003760DBCBB}" name="Engineer"/>
    <tableColumn id="2" xr3:uid="{96FAC99A-A28F-4A1C-BAAE-0B7DEBDE51DA}" name="Date" dataDxfId="4"/>
    <tableColumn id="3" xr3:uid="{01002A20-65D6-4C7A-81CF-87958DAD857C}" name="Day of Week"/>
    <tableColumn id="4" xr3:uid="{9D5AEA1D-6B35-4E95-9DF1-9D109EF2A9CF}" name="Hours Allocated"/>
    <tableColumn id="5" xr3:uid="{03F22AE8-4E9F-44A8-AF9B-E39AB83D4349}" name="Task Completed"/>
    <tableColumn id="6" xr3:uid="{544D7EF2-EC85-40AE-B8EC-F5FE219093FD}" name="Hourly Rate" dataDxfId="3"/>
    <tableColumn id="7" xr3:uid="{830F43E1-3D88-4CC6-B025-5FB1239BE63C}" name="Total Compensation" dataDxfId="2">
      <calculatedColumnFormula>Table1[[#This Row],[Hours Allocated]]*Table1[[#This Row],[Hourly Rate]]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562202-C4CE-43E8-AB36-6CF424CED883}" name="Table2" displayName="Table2" ref="D11:G12" totalsRowShown="0">
  <autoFilter ref="D11:G12" xr:uid="{63562202-C4CE-43E8-AB36-6CF424CED883}"/>
  <tableColumns count="4">
    <tableColumn id="1" xr3:uid="{C9649B1E-A9B1-4DA3-A9A7-9E55E746DFF7}" name="Total hours">
      <calculatedColumnFormula>SUM(Table1[Hours Allocated])</calculatedColumnFormula>
    </tableColumn>
    <tableColumn id="2" xr3:uid="{F22D49A8-9609-423D-8B7D-F0F4B35748EF}" name=" "/>
    <tableColumn id="3" xr3:uid="{461F03B5-066B-4313-9B92-E960F2040310}" name="  " dataDxfId="1"/>
    <tableColumn id="4" xr3:uid="{67AAD712-4153-440D-AC63-1A7AFD37B0FA}" name="Total compensation" dataDxfId="0">
      <calculatedColumnFormula>SUM(Table1[Total Compensation])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FAA2-BD55-4343-B8B7-BE58C3A382FF}">
  <dimension ref="A1:G31"/>
  <sheetViews>
    <sheetView tabSelected="1" workbookViewId="0">
      <selection activeCell="D23" sqref="D23"/>
    </sheetView>
  </sheetViews>
  <sheetFormatPr defaultRowHeight="15" x14ac:dyDescent="0.25"/>
  <cols>
    <col min="1" max="6" width="16.7109375" customWidth="1"/>
    <col min="7" max="7" width="21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25</v>
      </c>
      <c r="B2" s="1">
        <v>46133</v>
      </c>
      <c r="C2" t="s">
        <v>7</v>
      </c>
      <c r="D2">
        <v>3</v>
      </c>
      <c r="E2" t="s">
        <v>8</v>
      </c>
      <c r="F2" s="2">
        <v>33</v>
      </c>
      <c r="G2" s="2">
        <f>Table1[[#This Row],[Hours Allocated]]*Table1[[#This Row],[Hourly Rate]]</f>
        <v>99</v>
      </c>
    </row>
    <row r="3" spans="1:7" x14ac:dyDescent="0.25">
      <c r="A3" t="s">
        <v>25</v>
      </c>
      <c r="B3" s="1">
        <v>46133</v>
      </c>
      <c r="C3" t="s">
        <v>7</v>
      </c>
      <c r="D3">
        <v>3</v>
      </c>
      <c r="E3" t="s">
        <v>9</v>
      </c>
      <c r="F3" s="2">
        <v>33</v>
      </c>
      <c r="G3" s="2">
        <f>Table1[[#This Row],[Hours Allocated]]*Table1[[#This Row],[Hourly Rate]]</f>
        <v>99</v>
      </c>
    </row>
    <row r="4" spans="1:7" x14ac:dyDescent="0.25">
      <c r="A4" s="4" t="s">
        <v>14</v>
      </c>
      <c r="B4" s="5">
        <v>46115</v>
      </c>
      <c r="C4" s="4" t="s">
        <v>10</v>
      </c>
      <c r="D4" s="4"/>
      <c r="E4" s="4" t="s">
        <v>11</v>
      </c>
      <c r="F4" s="6">
        <v>33</v>
      </c>
      <c r="G4" s="6">
        <f>Table1[[#This Row],[Hours Allocated]]*Table1[[#This Row],[Hourly Rate]]</f>
        <v>0</v>
      </c>
    </row>
    <row r="5" spans="1:7" x14ac:dyDescent="0.25">
      <c r="A5" s="4" t="s">
        <v>14</v>
      </c>
      <c r="B5" s="5">
        <v>46122</v>
      </c>
      <c r="C5" s="4" t="s">
        <v>10</v>
      </c>
      <c r="D5" s="4"/>
      <c r="E5" s="4" t="s">
        <v>12</v>
      </c>
      <c r="F5" s="6">
        <v>33</v>
      </c>
      <c r="G5" s="6">
        <f>Table1[[#This Row],[Hours Allocated]]*Table1[[#This Row],[Hourly Rate]]</f>
        <v>0</v>
      </c>
    </row>
    <row r="6" spans="1:7" x14ac:dyDescent="0.25">
      <c r="A6" s="4" t="s">
        <v>26</v>
      </c>
      <c r="B6" s="5">
        <v>46129</v>
      </c>
      <c r="C6" s="4" t="s">
        <v>10</v>
      </c>
      <c r="D6" s="4"/>
      <c r="E6" s="4" t="s">
        <v>13</v>
      </c>
      <c r="F6" s="6">
        <v>33</v>
      </c>
      <c r="G6" s="6">
        <f>Table1[[#This Row],[Hours Allocated]]*Table1[[#This Row],[Hourly Rate]]</f>
        <v>0</v>
      </c>
    </row>
    <row r="7" spans="1:7" x14ac:dyDescent="0.25">
      <c r="A7" t="s">
        <v>14</v>
      </c>
      <c r="B7" s="1">
        <v>46114</v>
      </c>
      <c r="C7" t="s">
        <v>15</v>
      </c>
      <c r="D7">
        <v>0.25</v>
      </c>
      <c r="E7" t="s">
        <v>16</v>
      </c>
      <c r="F7" s="2">
        <v>33</v>
      </c>
      <c r="G7" s="2">
        <f>Table1[[#This Row],[Hours Allocated]]*Table1[[#This Row],[Hourly Rate]]</f>
        <v>8.25</v>
      </c>
    </row>
    <row r="8" spans="1:7" x14ac:dyDescent="0.25">
      <c r="A8" t="s">
        <v>26</v>
      </c>
      <c r="B8" s="3" t="s">
        <v>17</v>
      </c>
      <c r="C8" t="s">
        <v>18</v>
      </c>
      <c r="D8">
        <v>4</v>
      </c>
      <c r="E8" t="s">
        <v>19</v>
      </c>
      <c r="F8" s="2">
        <v>33</v>
      </c>
      <c r="G8" s="2">
        <f>Table1[[#This Row],[Hours Allocated]]*Table1[[#This Row],[Hourly Rate]]</f>
        <v>132</v>
      </c>
    </row>
    <row r="9" spans="1:7" x14ac:dyDescent="0.25">
      <c r="A9" t="s">
        <v>14</v>
      </c>
      <c r="B9" s="1">
        <v>46133</v>
      </c>
      <c r="C9" t="s">
        <v>7</v>
      </c>
      <c r="D9">
        <v>1.5</v>
      </c>
      <c r="E9" t="s">
        <v>20</v>
      </c>
      <c r="F9" s="2">
        <v>33</v>
      </c>
      <c r="G9" s="2">
        <f>Table1[[#This Row],[Hours Allocated]]*Table1[[#This Row],[Hourly Rate]]</f>
        <v>49.5</v>
      </c>
    </row>
    <row r="10" spans="1:7" x14ac:dyDescent="0.25">
      <c r="B10" s="1"/>
      <c r="F10" s="2"/>
      <c r="G10" s="2"/>
    </row>
    <row r="11" spans="1:7" x14ac:dyDescent="0.25">
      <c r="B11" s="1"/>
      <c r="D11" t="s">
        <v>21</v>
      </c>
      <c r="E11" t="s">
        <v>22</v>
      </c>
      <c r="F11" s="2" t="s">
        <v>23</v>
      </c>
      <c r="G11" s="2" t="s">
        <v>24</v>
      </c>
    </row>
    <row r="12" spans="1:7" x14ac:dyDescent="0.25">
      <c r="B12" s="1"/>
      <c r="D12">
        <f>SUM(Table1[Hours Allocated])</f>
        <v>11.75</v>
      </c>
      <c r="F12" s="2"/>
      <c r="G12" s="2">
        <f>SUM(Table1[Total Compensation])</f>
        <v>387.75</v>
      </c>
    </row>
    <row r="13" spans="1:7" x14ac:dyDescent="0.25">
      <c r="B13" s="1"/>
      <c r="F13" s="2"/>
      <c r="G13" s="2"/>
    </row>
    <row r="14" spans="1:7" x14ac:dyDescent="0.25">
      <c r="B14" s="1"/>
      <c r="F14" s="2"/>
      <c r="G14" s="2"/>
    </row>
    <row r="15" spans="1:7" x14ac:dyDescent="0.25">
      <c r="B15" s="1"/>
      <c r="F15" s="2"/>
      <c r="G15" s="2"/>
    </row>
    <row r="16" spans="1:7" x14ac:dyDescent="0.25">
      <c r="B16" s="1"/>
      <c r="F16" s="2"/>
      <c r="G16" s="2"/>
    </row>
    <row r="17" spans="2:7" x14ac:dyDescent="0.25">
      <c r="B17" s="1"/>
      <c r="F17" s="2"/>
      <c r="G17" s="2"/>
    </row>
    <row r="18" spans="2:7" x14ac:dyDescent="0.25">
      <c r="B18" s="1"/>
      <c r="F18" s="2"/>
      <c r="G18" s="2"/>
    </row>
    <row r="19" spans="2:7" x14ac:dyDescent="0.25">
      <c r="B19" s="1"/>
      <c r="F19" s="2"/>
      <c r="G19" s="2"/>
    </row>
    <row r="20" spans="2:7" x14ac:dyDescent="0.25">
      <c r="B20" s="1"/>
      <c r="F20" s="2"/>
      <c r="G20" s="2"/>
    </row>
    <row r="21" spans="2:7" x14ac:dyDescent="0.25">
      <c r="B21" s="1"/>
      <c r="F21" s="2"/>
      <c r="G21" s="2"/>
    </row>
    <row r="22" spans="2:7" x14ac:dyDescent="0.25">
      <c r="B22" s="1"/>
      <c r="F22" s="2"/>
      <c r="G22" s="2"/>
    </row>
    <row r="23" spans="2:7" x14ac:dyDescent="0.25">
      <c r="B23" s="1"/>
      <c r="F23" s="2"/>
      <c r="G23" s="2"/>
    </row>
    <row r="24" spans="2:7" x14ac:dyDescent="0.25">
      <c r="B24" s="1"/>
      <c r="F24" s="2"/>
      <c r="G24" s="2"/>
    </row>
    <row r="25" spans="2:7" x14ac:dyDescent="0.25">
      <c r="B25" s="1"/>
      <c r="F25" s="2"/>
      <c r="G25" s="2"/>
    </row>
    <row r="26" spans="2:7" x14ac:dyDescent="0.25">
      <c r="B26" s="1"/>
      <c r="F26" s="2"/>
      <c r="G26" s="2"/>
    </row>
    <row r="27" spans="2:7" x14ac:dyDescent="0.25">
      <c r="B27" s="1"/>
      <c r="F27" s="2"/>
      <c r="G27" s="2"/>
    </row>
    <row r="28" spans="2:7" x14ac:dyDescent="0.25">
      <c r="B28" s="1"/>
      <c r="F28" s="2"/>
      <c r="G28" s="2"/>
    </row>
    <row r="31" spans="2:7" x14ac:dyDescent="0.25">
      <c r="G31" s="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Owen Schafer</dc:creator>
  <cp:keywords/>
  <dc:description/>
  <cp:lastModifiedBy>adam meismer</cp:lastModifiedBy>
  <cp:revision/>
  <dcterms:created xsi:type="dcterms:W3CDTF">2026-04-21T16:39:54Z</dcterms:created>
  <dcterms:modified xsi:type="dcterms:W3CDTF">2026-05-08T18:37:53Z</dcterms:modified>
  <cp:category/>
  <cp:contentStatus/>
</cp:coreProperties>
</file>